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ura\OneDrive\Desktop\ExcelR\Data Analytics Course\Excel Ass\"/>
    </mc:Choice>
  </mc:AlternateContent>
  <xr:revisionPtr revIDLastSave="0" documentId="13_ncr:1_{E786B1BC-D932-4140-80A4-8B084C29BAFC}" xr6:coauthVersionLast="45" xr6:coauthVersionMax="45" xr10:uidLastSave="{00000000-0000-0000-0000-000000000000}"/>
  <bookViews>
    <workbookView xWindow="-108" yWindow="-108" windowWidth="23256" windowHeight="12576" activeTab="3" xr2:uid="{00000000-000D-0000-FFFF-FFFF00000000}"/>
  </bookViews>
  <sheets>
    <sheet name="1" sheetId="1" r:id="rId1"/>
    <sheet name="ANS" sheetId="3" r:id="rId2"/>
    <sheet name="2" sheetId="2" r:id="rId3"/>
    <sheet name="JoineeDetail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" l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K7" i="3"/>
  <c r="I7" i="3"/>
  <c r="J9" i="1" l="1"/>
</calcChain>
</file>

<file path=xl/sharedStrings.xml><?xml version="1.0" encoding="utf-8"?>
<sst xmlns="http://schemas.openxmlformats.org/spreadsheetml/2006/main" count="98" uniqueCount="29">
  <si>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</si>
  <si>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</si>
  <si>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</si>
  <si>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</si>
  <si>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</si>
  <si>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</si>
  <si>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</si>
  <si>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</si>
  <si>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</si>
  <si>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</si>
  <si>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</si>
  <si>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</si>
  <si>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</si>
  <si>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</si>
  <si>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</si>
  <si>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</si>
  <si>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</si>
  <si>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</si>
  <si>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</si>
  <si>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</si>
  <si>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</si>
  <si>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Put the cursor on "Row ID" and press format button</t>
  </si>
  <si>
    <t>EMPLOYEE NO</t>
  </si>
  <si>
    <t>EMPLOYEE NAME</t>
  </si>
  <si>
    <t>DESIGNATION</t>
  </si>
  <si>
    <t>DEPARTMENT</t>
  </si>
  <si>
    <t>ADDRESS</t>
  </si>
  <si>
    <t xml:space="preserve">HIRED DATE </t>
  </si>
  <si>
    <t>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</si>
</sst>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">
    <xf numFmtId="0" fontId="0" fillId="0" borderId="0" xfId="0"/>
    <xf numFmtId="0" fontId="1" fillId="0" borderId="0" xfId="0" applyFont="1"/>
    <xf numFmtId="49" fontId="0" fillId="2" borderId="1" xfId="0" applyNumberFormat="1" applyFill="1" applyBorder="1"/>
    <xf numFmtId="0" fontId="0" fillId="3" borderId="1" xfId="0" applyFill="1" applyBorder="1"/>
    <xf numFmtId="2" fontId="0" fillId="3" borderId="1" xfId="0" applyNumberFormat="1" applyFill="1" applyBorder="1"/>
    <xf numFmtId="1" fontId="0" fillId="3" borderId="1" xfId="0" applyNumberFormat="1" applyFill="1" applyBorder="1"/>
    <xf numFmtId="49" fontId="0" fillId="3" borderId="1" xfId="0" applyNumberFormat="1" applyFill="1" applyBorder="1"/>
    <xf numFmtId="9" fontId="0" fillId="3" borderId="1" xfId="1" applyFont="1" applyFill="1" applyBorder="1"/>
    <xf numFmtId="49" fontId="0" fillId="0" borderId="0" xfId="0" applyNumberFormat="1" applyFill="1" applyBorder="1"/>
    <xf numFmtId="0" fontId="0" fillId="0" borderId="0" xfId="0" applyFill="1" applyBorder="1"/>
    <xf numFmtId="1" fontId="0" fillId="0" borderId="0" xfId="0" applyNumberFormat="1" applyFill="1" applyBorder="1"/>
    <xf numFmtId="2" fontId="0" fillId="0" borderId="0" xfId="0" applyNumberFormat="1" applyFill="1" applyBorder="1"/>
    <xf numFmtId="9" fontId="0" fillId="0" borderId="0" xfId="1" applyFont="1" applyFill="1" applyBorder="1"/>
    <xf numFmtId="0" fontId="0" fillId="4" borderId="1" xfId="0" applyFill="1" applyBorder="1"/>
    <xf numFmtId="0" fontId="3" fillId="3" borderId="0" xfId="0" applyFon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30480</xdr:rowOff>
        </xdr:from>
        <xdr:to>
          <xdr:col>17</xdr:col>
          <xdr:colOff>91440</xdr:colOff>
          <xdr:row>13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J41"/>
  <sheetViews>
    <sheetView zoomScale="76" workbookViewId="0">
      <selection activeCell="J9" sqref="J9"/>
    </sheetView>
  </sheetViews>
  <sheetFormatPr defaultRowHeight="14.4" x14ac:dyDescent="0.3"/>
  <cols>
    <col min="4" max="4" width="12" bestFit="1" customWidth="1"/>
    <col min="5" max="5" width="18" bestFit="1" customWidth="1"/>
    <col min="7" max="7" width="11.77734375" bestFit="1" customWidth="1"/>
    <col min="8" max="8" width="18" bestFit="1" customWidth="1"/>
    <col min="9" max="9" width="20.33203125" bestFit="1" customWidth="1"/>
  </cols>
  <sheetData>
    <row r="2" spans="3:10" x14ac:dyDescent="0.3">
      <c r="C2" s="1" t="s">
        <v>0</v>
      </c>
      <c r="I2" s="1" t="s">
        <v>19</v>
      </c>
    </row>
    <row r="3" spans="3:10" x14ac:dyDescent="0.3">
      <c r="C3" s="1" t="s">
        <v>1</v>
      </c>
    </row>
    <row r="4" spans="3:10" x14ac:dyDescent="0.3">
      <c r="C4" s="1" t="s">
        <v>16</v>
      </c>
    </row>
    <row r="5" spans="3:10" x14ac:dyDescent="0.3">
      <c r="C5" s="1" t="s">
        <v>17</v>
      </c>
    </row>
    <row r="6" spans="3:10" x14ac:dyDescent="0.3">
      <c r="C6" s="1" t="s">
        <v>18</v>
      </c>
    </row>
    <row r="8" spans="3:10" x14ac:dyDescent="0.3">
      <c r="C8" s="2" t="s">
        <v>3</v>
      </c>
      <c r="D8" s="2" t="s">
        <v>4</v>
      </c>
      <c r="E8" s="2" t="s">
        <v>11</v>
      </c>
      <c r="F8" s="2" t="s">
        <v>12</v>
      </c>
      <c r="G8" s="2" t="s">
        <v>13</v>
      </c>
      <c r="H8" s="2" t="s">
        <v>14</v>
      </c>
      <c r="I8" s="2" t="s">
        <v>15</v>
      </c>
      <c r="J8" s="2" t="s">
        <v>10</v>
      </c>
    </row>
    <row r="9" spans="3:10" x14ac:dyDescent="0.3">
      <c r="C9" s="5">
        <v>20847</v>
      </c>
      <c r="D9" s="6" t="s">
        <v>5</v>
      </c>
      <c r="E9" s="5">
        <v>4</v>
      </c>
      <c r="F9" s="4">
        <v>2.84</v>
      </c>
      <c r="G9" s="4">
        <v>0.93</v>
      </c>
      <c r="H9" s="4">
        <f>(E9*F9)</f>
        <v>11.36</v>
      </c>
      <c r="I9" s="7">
        <v>0.54</v>
      </c>
      <c r="J9" s="4">
        <f>I9*E9-G9</f>
        <v>1.23</v>
      </c>
    </row>
    <row r="10" spans="3:10" x14ac:dyDescent="0.3">
      <c r="C10" s="5">
        <v>20228</v>
      </c>
      <c r="D10" s="6" t="s">
        <v>6</v>
      </c>
      <c r="E10" s="5">
        <v>12</v>
      </c>
      <c r="F10" s="4">
        <v>500.98</v>
      </c>
      <c r="G10" s="4">
        <v>26</v>
      </c>
      <c r="H10" s="4">
        <f t="shared" ref="H10:H41" si="0">(E10*F10)</f>
        <v>6011.76</v>
      </c>
      <c r="I10" s="7">
        <v>0.6</v>
      </c>
      <c r="J10" s="4">
        <f t="shared" ref="J10:J41" si="1">I10*E10-G10</f>
        <v>-18.8</v>
      </c>
    </row>
    <row r="11" spans="3:10" x14ac:dyDescent="0.3">
      <c r="C11" s="5">
        <v>21776</v>
      </c>
      <c r="D11" s="6" t="s">
        <v>7</v>
      </c>
      <c r="E11" s="5">
        <v>22</v>
      </c>
      <c r="F11" s="4">
        <v>9.48</v>
      </c>
      <c r="G11" s="4">
        <v>7.29</v>
      </c>
      <c r="H11" s="4">
        <f t="shared" si="0"/>
        <v>208.56</v>
      </c>
      <c r="I11" s="7">
        <v>0.45</v>
      </c>
      <c r="J11" s="4">
        <f t="shared" si="1"/>
        <v>2.6100000000000003</v>
      </c>
    </row>
    <row r="12" spans="3:10" x14ac:dyDescent="0.3">
      <c r="C12" s="5">
        <v>24844</v>
      </c>
      <c r="D12" s="6" t="s">
        <v>8</v>
      </c>
      <c r="E12" s="5">
        <v>16</v>
      </c>
      <c r="F12" s="4">
        <v>78.69</v>
      </c>
      <c r="G12" s="4">
        <v>19.989999999999998</v>
      </c>
      <c r="H12" s="4">
        <f t="shared" si="0"/>
        <v>1259.04</v>
      </c>
      <c r="I12" s="7">
        <v>0.43</v>
      </c>
      <c r="J12" s="4">
        <f t="shared" si="1"/>
        <v>-13.11</v>
      </c>
    </row>
    <row r="13" spans="3:10" x14ac:dyDescent="0.3">
      <c r="C13" s="5">
        <v>24846</v>
      </c>
      <c r="D13" s="6" t="s">
        <v>8</v>
      </c>
      <c r="E13" s="5">
        <v>7</v>
      </c>
      <c r="F13" s="4">
        <v>3.28</v>
      </c>
      <c r="G13" s="4">
        <v>2.31</v>
      </c>
      <c r="H13" s="4">
        <f t="shared" si="0"/>
        <v>22.959999999999997</v>
      </c>
      <c r="I13" s="7">
        <v>0.56000000000000005</v>
      </c>
      <c r="J13" s="4">
        <f t="shared" si="1"/>
        <v>1.6100000000000003</v>
      </c>
    </row>
    <row r="14" spans="3:10" x14ac:dyDescent="0.3">
      <c r="C14" s="5">
        <v>24847</v>
      </c>
      <c r="D14" s="6" t="s">
        <v>8</v>
      </c>
      <c r="E14" s="5">
        <v>4</v>
      </c>
      <c r="F14" s="4">
        <v>3.28</v>
      </c>
      <c r="G14" s="4">
        <v>4.2</v>
      </c>
      <c r="H14" s="4">
        <f t="shared" si="0"/>
        <v>13.12</v>
      </c>
      <c r="I14" s="7">
        <v>0.56000000000000005</v>
      </c>
      <c r="J14" s="4">
        <f t="shared" si="1"/>
        <v>-1.96</v>
      </c>
    </row>
    <row r="15" spans="3:10" x14ac:dyDescent="0.3">
      <c r="C15" s="5">
        <v>24848</v>
      </c>
      <c r="D15" s="6" t="s">
        <v>8</v>
      </c>
      <c r="E15" s="5">
        <v>4</v>
      </c>
      <c r="F15" s="4">
        <v>3.58</v>
      </c>
      <c r="G15" s="4">
        <v>1.63</v>
      </c>
      <c r="H15" s="4">
        <f t="shared" si="0"/>
        <v>14.32</v>
      </c>
      <c r="I15" s="7">
        <v>0.36</v>
      </c>
      <c r="J15" s="4">
        <f t="shared" si="1"/>
        <v>-0.18999999999999995</v>
      </c>
    </row>
    <row r="16" spans="3:10" x14ac:dyDescent="0.3">
      <c r="C16" s="5">
        <v>18181</v>
      </c>
      <c r="D16" s="6" t="s">
        <v>7</v>
      </c>
      <c r="E16" s="5">
        <v>7</v>
      </c>
      <c r="F16" s="4">
        <v>4.42</v>
      </c>
      <c r="G16" s="4">
        <v>4.99</v>
      </c>
      <c r="H16" s="4">
        <f t="shared" si="0"/>
        <v>30.939999999999998</v>
      </c>
      <c r="I16" s="7">
        <v>0.38</v>
      </c>
      <c r="J16" s="4">
        <f t="shared" si="1"/>
        <v>-2.33</v>
      </c>
    </row>
    <row r="17" spans="3:10" x14ac:dyDescent="0.3">
      <c r="C17" s="5">
        <v>20925</v>
      </c>
      <c r="D17" s="6" t="s">
        <v>8</v>
      </c>
      <c r="E17" s="5">
        <v>10</v>
      </c>
      <c r="F17" s="4">
        <v>35.94</v>
      </c>
      <c r="G17" s="4">
        <v>6.66</v>
      </c>
      <c r="H17" s="4">
        <f t="shared" si="0"/>
        <v>359.4</v>
      </c>
      <c r="I17" s="7">
        <v>0.4</v>
      </c>
      <c r="J17" s="4">
        <f t="shared" si="1"/>
        <v>-2.66</v>
      </c>
    </row>
    <row r="18" spans="3:10" x14ac:dyDescent="0.3">
      <c r="C18" s="5">
        <v>26267</v>
      </c>
      <c r="D18" s="6" t="s">
        <v>5</v>
      </c>
      <c r="E18" s="5">
        <v>6</v>
      </c>
      <c r="F18" s="4">
        <v>2.98</v>
      </c>
      <c r="G18" s="4">
        <v>1.58</v>
      </c>
      <c r="H18" s="4">
        <f t="shared" si="0"/>
        <v>17.88</v>
      </c>
      <c r="I18" s="7">
        <v>0.39</v>
      </c>
      <c r="J18" s="4">
        <f t="shared" si="1"/>
        <v>0.75999999999999979</v>
      </c>
    </row>
    <row r="19" spans="3:10" x14ac:dyDescent="0.3">
      <c r="C19" s="5">
        <v>26268</v>
      </c>
      <c r="D19" s="6" t="s">
        <v>5</v>
      </c>
      <c r="E19" s="5">
        <v>10</v>
      </c>
      <c r="F19" s="4">
        <v>115.99</v>
      </c>
      <c r="G19" s="4">
        <v>2.5</v>
      </c>
      <c r="H19" s="4">
        <f t="shared" si="0"/>
        <v>1159.8999999999999</v>
      </c>
      <c r="I19" s="7">
        <v>0.55000000000000004</v>
      </c>
      <c r="J19" s="4">
        <f t="shared" si="1"/>
        <v>3</v>
      </c>
    </row>
    <row r="20" spans="3:10" x14ac:dyDescent="0.3">
      <c r="C20" s="5">
        <v>23890</v>
      </c>
      <c r="D20" s="6" t="s">
        <v>5</v>
      </c>
      <c r="E20" s="5">
        <v>17</v>
      </c>
      <c r="F20" s="4">
        <v>26.48</v>
      </c>
      <c r="G20" s="4">
        <v>6.93</v>
      </c>
      <c r="H20" s="4">
        <f t="shared" si="0"/>
        <v>450.16</v>
      </c>
      <c r="I20" s="7">
        <v>0.49</v>
      </c>
      <c r="J20" s="4">
        <f t="shared" si="1"/>
        <v>1.4000000000000004</v>
      </c>
    </row>
    <row r="21" spans="3:10" x14ac:dyDescent="0.3">
      <c r="C21" s="5">
        <v>24063</v>
      </c>
      <c r="D21" s="6" t="s">
        <v>6</v>
      </c>
      <c r="E21" s="5">
        <v>18</v>
      </c>
      <c r="F21" s="4">
        <v>12.99</v>
      </c>
      <c r="G21" s="4">
        <v>9.44</v>
      </c>
      <c r="H21" s="4">
        <f t="shared" si="0"/>
        <v>233.82</v>
      </c>
      <c r="I21" s="7">
        <v>0.39</v>
      </c>
      <c r="J21" s="4">
        <f t="shared" si="1"/>
        <v>-2.419999999999999</v>
      </c>
    </row>
    <row r="22" spans="3:10" x14ac:dyDescent="0.3">
      <c r="C22" s="5">
        <v>5890</v>
      </c>
      <c r="D22" s="6" t="s">
        <v>5</v>
      </c>
      <c r="E22" s="5">
        <v>70</v>
      </c>
      <c r="F22" s="4">
        <v>26.48</v>
      </c>
      <c r="G22" s="4">
        <v>6.93</v>
      </c>
      <c r="H22" s="4">
        <f t="shared" si="0"/>
        <v>1853.6000000000001</v>
      </c>
      <c r="I22" s="7">
        <v>0.49</v>
      </c>
      <c r="J22" s="4">
        <f t="shared" si="1"/>
        <v>27.369999999999997</v>
      </c>
    </row>
    <row r="23" spans="3:10" x14ac:dyDescent="0.3">
      <c r="C23" s="5">
        <v>6062</v>
      </c>
      <c r="D23" s="6" t="s">
        <v>6</v>
      </c>
      <c r="E23" s="5">
        <v>58</v>
      </c>
      <c r="F23" s="4">
        <v>5</v>
      </c>
      <c r="G23" s="4">
        <v>3.39</v>
      </c>
      <c r="H23" s="4">
        <f t="shared" si="0"/>
        <v>290</v>
      </c>
      <c r="I23" s="7">
        <v>0.37</v>
      </c>
      <c r="J23" s="4">
        <f t="shared" si="1"/>
        <v>18.07</v>
      </c>
    </row>
    <row r="24" spans="3:10" x14ac:dyDescent="0.3">
      <c r="C24" s="5">
        <v>6063</v>
      </c>
      <c r="D24" s="6" t="s">
        <v>6</v>
      </c>
      <c r="E24" s="5">
        <v>71</v>
      </c>
      <c r="F24" s="4">
        <v>12.99</v>
      </c>
      <c r="G24" s="4">
        <v>9.44</v>
      </c>
      <c r="H24" s="4">
        <f t="shared" si="0"/>
        <v>922.29</v>
      </c>
      <c r="I24" s="7">
        <v>0.39</v>
      </c>
      <c r="J24" s="4">
        <f t="shared" si="1"/>
        <v>18.25</v>
      </c>
    </row>
    <row r="25" spans="3:10" x14ac:dyDescent="0.3">
      <c r="C25" s="5">
        <v>20631</v>
      </c>
      <c r="D25" s="6" t="s">
        <v>5</v>
      </c>
      <c r="E25" s="5">
        <v>1</v>
      </c>
      <c r="F25" s="4">
        <v>55.48</v>
      </c>
      <c r="G25" s="4">
        <v>14.3</v>
      </c>
      <c r="H25" s="4">
        <f t="shared" si="0"/>
        <v>55.48</v>
      </c>
      <c r="I25" s="7">
        <v>0.37</v>
      </c>
      <c r="J25" s="4">
        <f t="shared" si="1"/>
        <v>-13.930000000000001</v>
      </c>
    </row>
    <row r="26" spans="3:10" x14ac:dyDescent="0.3">
      <c r="C26" s="5">
        <v>20632</v>
      </c>
      <c r="D26" s="6" t="s">
        <v>5</v>
      </c>
      <c r="E26" s="5">
        <v>1</v>
      </c>
      <c r="F26" s="4">
        <v>1.68</v>
      </c>
      <c r="G26" s="4">
        <v>1.57</v>
      </c>
      <c r="H26" s="4">
        <f t="shared" si="0"/>
        <v>1.68</v>
      </c>
      <c r="I26" s="7">
        <v>0.59</v>
      </c>
      <c r="J26" s="4">
        <f t="shared" si="1"/>
        <v>-0.98000000000000009</v>
      </c>
    </row>
    <row r="27" spans="3:10" x14ac:dyDescent="0.3">
      <c r="C27" s="5">
        <v>23967</v>
      </c>
      <c r="D27" s="6" t="s">
        <v>6</v>
      </c>
      <c r="E27" s="5">
        <v>12</v>
      </c>
      <c r="F27" s="4">
        <v>4.1399999999999997</v>
      </c>
      <c r="G27" s="4">
        <v>6.6</v>
      </c>
      <c r="H27" s="4">
        <f t="shared" si="0"/>
        <v>49.679999999999993</v>
      </c>
      <c r="I27" s="7">
        <v>0.49</v>
      </c>
      <c r="J27" s="4">
        <f t="shared" si="1"/>
        <v>-0.71999999999999975</v>
      </c>
    </row>
    <row r="28" spans="3:10" x14ac:dyDescent="0.3">
      <c r="C28" s="5">
        <v>23509</v>
      </c>
      <c r="D28" s="6" t="s">
        <v>5</v>
      </c>
      <c r="E28" s="5">
        <v>13</v>
      </c>
      <c r="F28" s="4">
        <v>34.99</v>
      </c>
      <c r="G28" s="4">
        <v>7.73</v>
      </c>
      <c r="H28" s="4">
        <f t="shared" si="0"/>
        <v>454.87</v>
      </c>
      <c r="I28" s="7">
        <v>0.59</v>
      </c>
      <c r="J28" s="4">
        <f t="shared" si="1"/>
        <v>-6.0000000000000497E-2</v>
      </c>
    </row>
    <row r="29" spans="3:10" x14ac:dyDescent="0.3">
      <c r="C29" s="5">
        <v>23612</v>
      </c>
      <c r="D29" s="6" t="s">
        <v>5</v>
      </c>
      <c r="E29" s="5">
        <v>2</v>
      </c>
      <c r="F29" s="4">
        <v>17.98</v>
      </c>
      <c r="G29" s="4">
        <v>8.51</v>
      </c>
      <c r="H29" s="4">
        <f t="shared" si="0"/>
        <v>35.96</v>
      </c>
      <c r="I29" s="7">
        <v>0.4</v>
      </c>
      <c r="J29" s="4">
        <f t="shared" si="1"/>
        <v>-7.71</v>
      </c>
    </row>
    <row r="30" spans="3:10" x14ac:dyDescent="0.3">
      <c r="C30" s="5">
        <v>23278</v>
      </c>
      <c r="D30" s="6" t="s">
        <v>8</v>
      </c>
      <c r="E30" s="5">
        <v>8</v>
      </c>
      <c r="F30" s="4">
        <v>125.99</v>
      </c>
      <c r="G30" s="4">
        <v>7.69</v>
      </c>
      <c r="H30" s="4">
        <f t="shared" si="0"/>
        <v>1007.92</v>
      </c>
      <c r="I30" s="7">
        <v>0.59</v>
      </c>
      <c r="J30" s="4">
        <f t="shared" si="1"/>
        <v>-2.9700000000000006</v>
      </c>
    </row>
    <row r="31" spans="3:10" x14ac:dyDescent="0.3">
      <c r="C31" s="5">
        <v>19355</v>
      </c>
      <c r="D31" s="6" t="s">
        <v>9</v>
      </c>
      <c r="E31" s="5">
        <v>22</v>
      </c>
      <c r="F31" s="4">
        <v>205.99</v>
      </c>
      <c r="G31" s="4">
        <v>8.99</v>
      </c>
      <c r="H31" s="4">
        <f t="shared" si="0"/>
        <v>4531.7800000000007</v>
      </c>
      <c r="I31" s="7">
        <v>0.56000000000000005</v>
      </c>
      <c r="J31" s="4">
        <f t="shared" si="1"/>
        <v>3.33</v>
      </c>
    </row>
    <row r="32" spans="3:10" x14ac:dyDescent="0.3">
      <c r="C32" s="5">
        <v>23654</v>
      </c>
      <c r="D32" s="6" t="s">
        <v>6</v>
      </c>
      <c r="E32" s="5">
        <v>13</v>
      </c>
      <c r="F32" s="4">
        <v>4.24</v>
      </c>
      <c r="G32" s="4">
        <v>5.41</v>
      </c>
      <c r="H32" s="4">
        <f t="shared" si="0"/>
        <v>55.120000000000005</v>
      </c>
      <c r="I32" s="7">
        <v>0.35</v>
      </c>
      <c r="J32" s="4">
        <f t="shared" si="1"/>
        <v>-0.86000000000000032</v>
      </c>
    </row>
    <row r="33" spans="3:10" x14ac:dyDescent="0.3">
      <c r="C33" s="5">
        <v>23655</v>
      </c>
      <c r="D33" s="6" t="s">
        <v>6</v>
      </c>
      <c r="E33" s="5">
        <v>18</v>
      </c>
      <c r="F33" s="4">
        <v>2.94</v>
      </c>
      <c r="G33" s="4">
        <v>0.7</v>
      </c>
      <c r="H33" s="4">
        <f t="shared" si="0"/>
        <v>52.92</v>
      </c>
      <c r="I33" s="7">
        <v>0.57999999999999996</v>
      </c>
      <c r="J33" s="4">
        <f t="shared" si="1"/>
        <v>9.74</v>
      </c>
    </row>
    <row r="34" spans="3:10" x14ac:dyDescent="0.3">
      <c r="C34" s="5">
        <v>25933</v>
      </c>
      <c r="D34" s="6" t="s">
        <v>5</v>
      </c>
      <c r="E34" s="5">
        <v>6</v>
      </c>
      <c r="F34" s="4">
        <v>99.99</v>
      </c>
      <c r="G34" s="4">
        <v>19.989999999999998</v>
      </c>
      <c r="H34" s="4">
        <f t="shared" si="0"/>
        <v>599.93999999999994</v>
      </c>
      <c r="I34" s="7">
        <v>0.52</v>
      </c>
      <c r="J34" s="4">
        <f t="shared" si="1"/>
        <v>-16.869999999999997</v>
      </c>
    </row>
    <row r="35" spans="3:10" x14ac:dyDescent="0.3">
      <c r="C35" s="5">
        <v>20697</v>
      </c>
      <c r="D35" s="6" t="s">
        <v>8</v>
      </c>
      <c r="E35" s="5">
        <v>6</v>
      </c>
      <c r="F35" s="4">
        <v>115.99</v>
      </c>
      <c r="G35" s="4">
        <v>2.5</v>
      </c>
      <c r="H35" s="4">
        <f t="shared" si="0"/>
        <v>695.93999999999994</v>
      </c>
      <c r="I35" s="7">
        <v>0.56999999999999995</v>
      </c>
      <c r="J35" s="4">
        <f t="shared" si="1"/>
        <v>0.91999999999999993</v>
      </c>
    </row>
    <row r="36" spans="3:10" x14ac:dyDescent="0.3">
      <c r="C36" s="5">
        <v>20698</v>
      </c>
      <c r="D36" s="6" t="s">
        <v>8</v>
      </c>
      <c r="E36" s="5">
        <v>1</v>
      </c>
      <c r="F36" s="4">
        <v>3502.14</v>
      </c>
      <c r="G36" s="4">
        <v>8.73</v>
      </c>
      <c r="H36" s="4">
        <f t="shared" si="0"/>
        <v>3502.14</v>
      </c>
      <c r="I36" s="7">
        <v>0.56999999999999995</v>
      </c>
      <c r="J36" s="4">
        <f t="shared" si="1"/>
        <v>-8.16</v>
      </c>
    </row>
    <row r="37" spans="3:10" x14ac:dyDescent="0.3">
      <c r="C37" s="5">
        <v>22890</v>
      </c>
      <c r="D37" s="6" t="s">
        <v>5</v>
      </c>
      <c r="E37" s="5">
        <v>17</v>
      </c>
      <c r="F37" s="4">
        <v>175.99</v>
      </c>
      <c r="G37" s="4">
        <v>5.79</v>
      </c>
      <c r="H37" s="4">
        <f t="shared" si="0"/>
        <v>2991.83</v>
      </c>
      <c r="I37" s="7">
        <v>0.36</v>
      </c>
      <c r="J37" s="4">
        <f t="shared" si="1"/>
        <v>0.33000000000000007</v>
      </c>
    </row>
    <row r="38" spans="3:10" x14ac:dyDescent="0.3">
      <c r="C38" s="5">
        <v>25354</v>
      </c>
      <c r="D38" s="6" t="s">
        <v>5</v>
      </c>
      <c r="E38" s="5">
        <v>20</v>
      </c>
      <c r="F38" s="4">
        <v>155.06</v>
      </c>
      <c r="G38" s="4">
        <v>1.49</v>
      </c>
      <c r="H38" s="4">
        <f t="shared" si="0"/>
        <v>3101.2</v>
      </c>
      <c r="I38" s="7">
        <v>0.38</v>
      </c>
      <c r="J38" s="4">
        <f t="shared" si="1"/>
        <v>6.1099999999999994</v>
      </c>
    </row>
    <row r="39" spans="3:10" x14ac:dyDescent="0.3">
      <c r="C39" s="5">
        <v>21017</v>
      </c>
      <c r="D39" s="6" t="s">
        <v>6</v>
      </c>
      <c r="E39" s="5">
        <v>17</v>
      </c>
      <c r="F39" s="4">
        <v>5.98</v>
      </c>
      <c r="G39" s="4">
        <v>0.7</v>
      </c>
      <c r="H39" s="4">
        <f t="shared" si="0"/>
        <v>101.66000000000001</v>
      </c>
      <c r="I39" s="7">
        <v>0.56000000000000005</v>
      </c>
      <c r="J39" s="4">
        <f t="shared" si="1"/>
        <v>8.8200000000000021</v>
      </c>
    </row>
    <row r="40" spans="3:10" x14ac:dyDescent="0.3">
      <c r="C40" s="5">
        <v>21019</v>
      </c>
      <c r="D40" s="6" t="s">
        <v>6</v>
      </c>
      <c r="E40" s="5">
        <v>3</v>
      </c>
      <c r="F40" s="4">
        <v>29.14</v>
      </c>
      <c r="G40" s="4">
        <v>5.15</v>
      </c>
      <c r="H40" s="4">
        <f t="shared" si="0"/>
        <v>87.42</v>
      </c>
      <c r="I40" s="7">
        <v>0.36</v>
      </c>
      <c r="J40" s="4">
        <f t="shared" si="1"/>
        <v>-4.07</v>
      </c>
    </row>
    <row r="41" spans="3:10" x14ac:dyDescent="0.3">
      <c r="C41" s="5">
        <v>23274</v>
      </c>
      <c r="D41" s="6" t="s">
        <v>9</v>
      </c>
      <c r="E41" s="5">
        <v>17</v>
      </c>
      <c r="F41" s="4">
        <v>3.69</v>
      </c>
      <c r="G41" s="4">
        <v>4.8600000000000003</v>
      </c>
      <c r="H41" s="4">
        <f t="shared" si="0"/>
        <v>62.73</v>
      </c>
      <c r="I41" s="7">
        <v>0.38</v>
      </c>
      <c r="J41" s="4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DED63-F123-408F-AFD0-341C17EE2C90}">
  <sheetPr codeName="Sheet2"/>
  <dimension ref="D6:XEW39"/>
  <sheetViews>
    <sheetView zoomScale="67" workbookViewId="0">
      <selection activeCell="D6" sqref="D6"/>
    </sheetView>
  </sheetViews>
  <sheetFormatPr defaultRowHeight="14.4" x14ac:dyDescent="0.3"/>
  <cols>
    <col min="18" max="18" width="11.5546875" customWidth="1"/>
  </cols>
  <sheetData>
    <row r="6" spans="4:18 16356:16377" x14ac:dyDescent="0.3">
      <c r="D6" t="s">
        <v>3</v>
      </c>
      <c r="E6" t="s">
        <v>4</v>
      </c>
      <c r="F6" t="s">
        <v>11</v>
      </c>
      <c r="G6" t="s">
        <v>12</v>
      </c>
      <c r="H6" t="s">
        <v>13</v>
      </c>
      <c r="I6" t="s">
        <v>14</v>
      </c>
      <c r="J6" t="s">
        <v>15</v>
      </c>
      <c r="K6" t="s">
        <v>10</v>
      </c>
      <c r="XEB6" s="8"/>
      <c r="XEC6" s="8"/>
      <c r="XED6" s="8"/>
      <c r="XEE6" s="8"/>
      <c r="XEF6" s="8"/>
      <c r="XEG6" s="8"/>
      <c r="XEH6" s="8"/>
      <c r="XEI6" s="8"/>
      <c r="XEJ6" s="9"/>
      <c r="XEK6" s="9"/>
      <c r="XEL6" s="9"/>
      <c r="XEM6" s="9"/>
      <c r="XEN6" s="9"/>
      <c r="XEO6" s="9"/>
      <c r="XEP6" s="8"/>
      <c r="XEQ6" s="8"/>
      <c r="XER6" s="8"/>
      <c r="XES6" s="8"/>
      <c r="XET6" s="8"/>
      <c r="XEU6" s="8"/>
      <c r="XEV6" s="8"/>
      <c r="XEW6" s="8"/>
    </row>
    <row r="7" spans="4:18 16356:16377" x14ac:dyDescent="0.3">
      <c r="D7">
        <v>20847</v>
      </c>
      <c r="E7" t="s">
        <v>5</v>
      </c>
      <c r="F7">
        <v>4</v>
      </c>
      <c r="G7">
        <v>2.84</v>
      </c>
      <c r="H7">
        <v>0.93</v>
      </c>
      <c r="I7">
        <f>(F7*G7)+H7</f>
        <v>12.29</v>
      </c>
      <c r="J7">
        <v>0.54</v>
      </c>
      <c r="K7">
        <f>J7*F7-H7</f>
        <v>1.23</v>
      </c>
      <c r="N7" s="14" t="s">
        <v>21</v>
      </c>
      <c r="O7" s="14"/>
      <c r="P7" s="14"/>
      <c r="Q7" s="14"/>
      <c r="R7" s="14"/>
      <c r="XEB7" s="10"/>
      <c r="XEC7" s="8"/>
      <c r="XED7" s="10"/>
      <c r="XEE7" s="11"/>
      <c r="XEF7" s="11"/>
      <c r="XEG7" s="11"/>
      <c r="XEH7" s="12"/>
      <c r="XEI7" s="11"/>
      <c r="XEJ7" s="9"/>
      <c r="XEK7" s="9"/>
      <c r="XEL7" s="9"/>
      <c r="XEM7" s="9"/>
      <c r="XEN7" s="9"/>
      <c r="XEO7" s="9"/>
      <c r="XEP7" s="10"/>
      <c r="XEQ7" s="8"/>
      <c r="XER7" s="10"/>
      <c r="XES7" s="11"/>
      <c r="XET7" s="11"/>
      <c r="XEU7" s="11"/>
      <c r="XEV7" s="12"/>
      <c r="XEW7" s="11"/>
    </row>
    <row r="8" spans="4:18 16356:16377" x14ac:dyDescent="0.3">
      <c r="D8">
        <v>20228</v>
      </c>
      <c r="E8" t="s">
        <v>6</v>
      </c>
      <c r="F8">
        <v>12</v>
      </c>
      <c r="G8">
        <v>500.98</v>
      </c>
      <c r="H8">
        <v>26</v>
      </c>
      <c r="J8">
        <v>0.6</v>
      </c>
      <c r="XEB8" s="10"/>
      <c r="XEC8" s="8"/>
      <c r="XED8" s="10"/>
      <c r="XEE8" s="11"/>
      <c r="XEF8" s="11"/>
      <c r="XEG8" s="11"/>
      <c r="XEH8" s="12"/>
      <c r="XEI8" s="11"/>
      <c r="XEJ8" s="9"/>
      <c r="XEK8" s="9"/>
      <c r="XEL8" s="9"/>
      <c r="XEM8" s="9"/>
      <c r="XEN8" s="9"/>
      <c r="XEO8" s="9"/>
      <c r="XEP8" s="10"/>
      <c r="XEQ8" s="8"/>
      <c r="XER8" s="10"/>
      <c r="XES8" s="11"/>
      <c r="XET8" s="11"/>
      <c r="XEU8" s="11"/>
      <c r="XEV8" s="12"/>
      <c r="XEW8" s="11"/>
    </row>
    <row r="9" spans="4:18 16356:16377" x14ac:dyDescent="0.3">
      <c r="D9">
        <v>21776</v>
      </c>
      <c r="E9" t="s">
        <v>7</v>
      </c>
      <c r="F9">
        <v>22</v>
      </c>
      <c r="G9">
        <v>9.48</v>
      </c>
      <c r="H9">
        <v>7.29</v>
      </c>
      <c r="J9">
        <v>0.45</v>
      </c>
      <c r="XEB9" s="10"/>
      <c r="XEC9" s="8"/>
      <c r="XED9" s="10"/>
      <c r="XEE9" s="11"/>
      <c r="XEF9" s="11"/>
      <c r="XEG9" s="11"/>
      <c r="XEH9" s="12"/>
      <c r="XEI9" s="11"/>
      <c r="XEJ9" s="9"/>
      <c r="XEK9" s="9"/>
      <c r="XEL9" s="9"/>
      <c r="XEM9" s="9"/>
      <c r="XEN9" s="9"/>
      <c r="XEO9" s="9"/>
      <c r="XEP9" s="10"/>
      <c r="XEQ9" s="8"/>
      <c r="XER9" s="10"/>
      <c r="XES9" s="11"/>
      <c r="XET9" s="11"/>
      <c r="XEU9" s="11"/>
      <c r="XEV9" s="12"/>
      <c r="XEW9" s="11"/>
    </row>
    <row r="10" spans="4:18 16356:16377" x14ac:dyDescent="0.3">
      <c r="D10">
        <v>24844</v>
      </c>
      <c r="E10" t="s">
        <v>8</v>
      </c>
      <c r="F10">
        <v>16</v>
      </c>
      <c r="G10">
        <v>78.69</v>
      </c>
      <c r="H10">
        <v>19.989999999999998</v>
      </c>
      <c r="J10">
        <v>0.43</v>
      </c>
      <c r="XEB10" s="10"/>
      <c r="XEC10" s="8"/>
      <c r="XED10" s="10"/>
      <c r="XEE10" s="11"/>
      <c r="XEF10" s="11"/>
      <c r="XEG10" s="11"/>
      <c r="XEH10" s="12"/>
      <c r="XEI10" s="11"/>
      <c r="XEJ10" s="9"/>
      <c r="XEK10" s="9"/>
      <c r="XEL10" s="9"/>
      <c r="XEM10" s="9"/>
      <c r="XEN10" s="9"/>
      <c r="XEO10" s="9"/>
      <c r="XEP10" s="10"/>
      <c r="XEQ10" s="8"/>
      <c r="XER10" s="10"/>
      <c r="XES10" s="11"/>
      <c r="XET10" s="11"/>
      <c r="XEU10" s="11"/>
      <c r="XEV10" s="12"/>
      <c r="XEW10" s="11"/>
    </row>
    <row r="11" spans="4:18 16356:16377" x14ac:dyDescent="0.3">
      <c r="D11">
        <v>24846</v>
      </c>
      <c r="E11" t="s">
        <v>8</v>
      </c>
      <c r="F11">
        <v>7</v>
      </c>
      <c r="G11">
        <v>3.28</v>
      </c>
      <c r="H11">
        <v>2.31</v>
      </c>
      <c r="J11">
        <v>0.56000000000000005</v>
      </c>
      <c r="XEB11" s="10"/>
      <c r="XEC11" s="8"/>
      <c r="XED11" s="10"/>
      <c r="XEE11" s="11"/>
      <c r="XEF11" s="11"/>
      <c r="XEG11" s="11"/>
      <c r="XEH11" s="12"/>
      <c r="XEI11" s="11"/>
      <c r="XEJ11" s="9"/>
      <c r="XEK11" s="9"/>
      <c r="XEL11" s="9"/>
      <c r="XEM11" s="9"/>
      <c r="XEN11" s="9"/>
      <c r="XEO11" s="9"/>
      <c r="XEP11" s="10"/>
      <c r="XEQ11" s="8"/>
      <c r="XER11" s="10"/>
      <c r="XES11" s="11"/>
      <c r="XET11" s="11"/>
      <c r="XEU11" s="11"/>
      <c r="XEV11" s="12"/>
      <c r="XEW11" s="11"/>
    </row>
    <row r="12" spans="4:18 16356:16377" x14ac:dyDescent="0.3">
      <c r="D12">
        <v>24847</v>
      </c>
      <c r="E12" t="s">
        <v>8</v>
      </c>
      <c r="F12">
        <v>4</v>
      </c>
      <c r="G12">
        <v>3.28</v>
      </c>
      <c r="H12">
        <v>4.2</v>
      </c>
      <c r="J12">
        <v>0.56000000000000005</v>
      </c>
      <c r="XEB12" s="10"/>
      <c r="XEC12" s="8"/>
      <c r="XED12" s="10"/>
      <c r="XEE12" s="11"/>
      <c r="XEF12" s="11"/>
      <c r="XEG12" s="11"/>
      <c r="XEH12" s="12"/>
      <c r="XEI12" s="11"/>
      <c r="XEJ12" s="9"/>
      <c r="XEK12" s="9"/>
      <c r="XEL12" s="9"/>
      <c r="XEM12" s="9"/>
      <c r="XEN12" s="9"/>
      <c r="XEO12" s="9"/>
      <c r="XEP12" s="10"/>
      <c r="XEQ12" s="8"/>
      <c r="XER12" s="10"/>
      <c r="XES12" s="11"/>
      <c r="XET12" s="11"/>
      <c r="XEU12" s="11"/>
      <c r="XEV12" s="12"/>
      <c r="XEW12" s="11"/>
    </row>
    <row r="13" spans="4:18 16356:16377" x14ac:dyDescent="0.3">
      <c r="D13">
        <v>24848</v>
      </c>
      <c r="E13" t="s">
        <v>8</v>
      </c>
      <c r="F13">
        <v>4</v>
      </c>
      <c r="G13">
        <v>3.58</v>
      </c>
      <c r="H13">
        <v>1.63</v>
      </c>
      <c r="J13">
        <v>0.36</v>
      </c>
      <c r="XEB13" s="10"/>
      <c r="XEC13" s="8"/>
      <c r="XED13" s="10"/>
      <c r="XEE13" s="11"/>
      <c r="XEF13" s="11"/>
      <c r="XEG13" s="11"/>
      <c r="XEH13" s="12"/>
      <c r="XEI13" s="11"/>
      <c r="XEJ13" s="9"/>
      <c r="XEK13" s="9"/>
      <c r="XEL13" s="9"/>
      <c r="XEM13" s="9"/>
      <c r="XEN13" s="9"/>
      <c r="XEO13" s="9"/>
      <c r="XEP13" s="10"/>
      <c r="XEQ13" s="8"/>
      <c r="XER13" s="10"/>
      <c r="XES13" s="11"/>
      <c r="XET13" s="11"/>
      <c r="XEU13" s="11"/>
      <c r="XEV13" s="12"/>
      <c r="XEW13" s="11"/>
    </row>
    <row r="14" spans="4:18 16356:16377" x14ac:dyDescent="0.3">
      <c r="D14">
        <v>18181</v>
      </c>
      <c r="E14" t="s">
        <v>7</v>
      </c>
      <c r="F14">
        <v>7</v>
      </c>
      <c r="G14">
        <v>4.42</v>
      </c>
      <c r="H14">
        <v>4.99</v>
      </c>
      <c r="J14">
        <v>0.38</v>
      </c>
      <c r="XEB14" s="10"/>
      <c r="XEC14" s="8"/>
      <c r="XED14" s="10"/>
      <c r="XEE14" s="11"/>
      <c r="XEF14" s="11"/>
      <c r="XEG14" s="11"/>
      <c r="XEH14" s="12"/>
      <c r="XEI14" s="11"/>
      <c r="XEJ14" s="9"/>
      <c r="XEK14" s="9"/>
      <c r="XEL14" s="9"/>
      <c r="XEM14" s="9"/>
      <c r="XEN14" s="9"/>
      <c r="XEO14" s="9"/>
      <c r="XEP14" s="10"/>
      <c r="XEQ14" s="8"/>
      <c r="XER14" s="10"/>
      <c r="XES14" s="11"/>
      <c r="XET14" s="11"/>
      <c r="XEU14" s="11"/>
      <c r="XEV14" s="12"/>
      <c r="XEW14" s="11"/>
    </row>
    <row r="15" spans="4:18 16356:16377" x14ac:dyDescent="0.3">
      <c r="D15">
        <v>20925</v>
      </c>
      <c r="E15" t="s">
        <v>8</v>
      </c>
      <c r="F15">
        <v>10</v>
      </c>
      <c r="G15">
        <v>35.94</v>
      </c>
      <c r="H15">
        <v>6.66</v>
      </c>
      <c r="J15">
        <v>0.4</v>
      </c>
      <c r="XEB15" s="10"/>
      <c r="XEC15" s="8"/>
      <c r="XED15" s="10"/>
      <c r="XEE15" s="11"/>
      <c r="XEF15" s="11"/>
      <c r="XEG15" s="11"/>
      <c r="XEH15" s="12"/>
      <c r="XEI15" s="11"/>
      <c r="XEJ15" s="9"/>
      <c r="XEK15" s="9"/>
      <c r="XEL15" s="9"/>
      <c r="XEM15" s="9"/>
      <c r="XEN15" s="9"/>
      <c r="XEO15" s="9"/>
      <c r="XEP15" s="10"/>
      <c r="XEQ15" s="8"/>
      <c r="XER15" s="10"/>
      <c r="XES15" s="11"/>
      <c r="XET15" s="11"/>
      <c r="XEU15" s="11"/>
      <c r="XEV15" s="12"/>
      <c r="XEW15" s="11"/>
    </row>
    <row r="16" spans="4:18 16356:16377" x14ac:dyDescent="0.3">
      <c r="D16">
        <v>26267</v>
      </c>
      <c r="E16" t="s">
        <v>5</v>
      </c>
      <c r="F16">
        <v>6</v>
      </c>
      <c r="G16">
        <v>2.98</v>
      </c>
      <c r="H16">
        <v>1.58</v>
      </c>
      <c r="J16">
        <v>0.39</v>
      </c>
      <c r="XEB16" s="10"/>
      <c r="XEC16" s="8"/>
      <c r="XED16" s="10"/>
      <c r="XEE16" s="11"/>
      <c r="XEF16" s="11"/>
      <c r="XEG16" s="11"/>
      <c r="XEH16" s="12"/>
      <c r="XEI16" s="11"/>
      <c r="XEJ16" s="9"/>
      <c r="XEK16" s="9"/>
      <c r="XEL16" s="9"/>
      <c r="XEM16" s="9"/>
      <c r="XEN16" s="9"/>
      <c r="XEO16" s="9"/>
      <c r="XEP16" s="10"/>
      <c r="XEQ16" s="8"/>
      <c r="XER16" s="10"/>
      <c r="XES16" s="11"/>
      <c r="XET16" s="11"/>
      <c r="XEU16" s="11"/>
      <c r="XEV16" s="12"/>
      <c r="XEW16" s="11"/>
    </row>
    <row r="17" spans="4:10 16356:16377" x14ac:dyDescent="0.3">
      <c r="D17">
        <v>26268</v>
      </c>
      <c r="E17" t="s">
        <v>5</v>
      </c>
      <c r="F17">
        <v>10</v>
      </c>
      <c r="G17">
        <v>115.99</v>
      </c>
      <c r="H17">
        <v>2.5</v>
      </c>
      <c r="J17">
        <v>0.55000000000000004</v>
      </c>
      <c r="XEB17" s="10"/>
      <c r="XEC17" s="8"/>
      <c r="XED17" s="10"/>
      <c r="XEE17" s="11"/>
      <c r="XEF17" s="11"/>
      <c r="XEG17" s="11"/>
      <c r="XEH17" s="12"/>
      <c r="XEI17" s="11"/>
      <c r="XEJ17" s="9"/>
      <c r="XEK17" s="9"/>
      <c r="XEL17" s="9"/>
      <c r="XEM17" s="9"/>
      <c r="XEN17" s="9"/>
      <c r="XEO17" s="9"/>
      <c r="XEP17" s="10"/>
      <c r="XEQ17" s="8"/>
      <c r="XER17" s="10"/>
      <c r="XES17" s="11"/>
      <c r="XET17" s="11"/>
      <c r="XEU17" s="11"/>
      <c r="XEV17" s="12"/>
      <c r="XEW17" s="11"/>
    </row>
    <row r="18" spans="4:10 16356:16377" x14ac:dyDescent="0.3">
      <c r="D18">
        <v>23890</v>
      </c>
      <c r="E18" t="s">
        <v>5</v>
      </c>
      <c r="F18">
        <v>17</v>
      </c>
      <c r="G18">
        <v>26.48</v>
      </c>
      <c r="H18">
        <v>6.93</v>
      </c>
      <c r="J18">
        <v>0.49</v>
      </c>
      <c r="XEB18" s="10"/>
      <c r="XEC18" s="8"/>
      <c r="XED18" s="10"/>
      <c r="XEE18" s="11"/>
      <c r="XEF18" s="11"/>
      <c r="XEG18" s="11"/>
      <c r="XEH18" s="12"/>
      <c r="XEI18" s="11"/>
      <c r="XEJ18" s="9"/>
      <c r="XEK18" s="9"/>
      <c r="XEL18" s="9"/>
      <c r="XEM18" s="9"/>
      <c r="XEN18" s="9"/>
      <c r="XEO18" s="9"/>
      <c r="XEP18" s="10"/>
      <c r="XEQ18" s="8"/>
      <c r="XER18" s="10"/>
      <c r="XES18" s="11"/>
      <c r="XET18" s="11"/>
      <c r="XEU18" s="11"/>
      <c r="XEV18" s="12"/>
      <c r="XEW18" s="11"/>
    </row>
    <row r="19" spans="4:10 16356:16377" x14ac:dyDescent="0.3">
      <c r="D19">
        <v>24063</v>
      </c>
      <c r="E19" t="s">
        <v>6</v>
      </c>
      <c r="F19">
        <v>18</v>
      </c>
      <c r="G19">
        <v>12.99</v>
      </c>
      <c r="H19">
        <v>9.44</v>
      </c>
      <c r="J19">
        <v>0.39</v>
      </c>
      <c r="XEB19" s="10"/>
      <c r="XEC19" s="8"/>
      <c r="XED19" s="10"/>
      <c r="XEE19" s="11"/>
      <c r="XEF19" s="11"/>
      <c r="XEG19" s="11"/>
      <c r="XEH19" s="12"/>
      <c r="XEI19" s="11"/>
      <c r="XEJ19" s="9"/>
      <c r="XEK19" s="9"/>
      <c r="XEL19" s="9"/>
      <c r="XEM19" s="9"/>
      <c r="XEN19" s="9"/>
      <c r="XEO19" s="9"/>
      <c r="XEP19" s="10"/>
      <c r="XEQ19" s="8"/>
      <c r="XER19" s="10"/>
      <c r="XES19" s="11"/>
      <c r="XET19" s="11"/>
      <c r="XEU19" s="11"/>
      <c r="XEV19" s="12"/>
      <c r="XEW19" s="11"/>
    </row>
    <row r="20" spans="4:10 16356:16377" x14ac:dyDescent="0.3">
      <c r="D20">
        <v>5890</v>
      </c>
      <c r="E20" t="s">
        <v>5</v>
      </c>
      <c r="F20">
        <v>70</v>
      </c>
      <c r="G20">
        <v>26.48</v>
      </c>
      <c r="H20">
        <v>6.93</v>
      </c>
      <c r="J20">
        <v>0.49</v>
      </c>
      <c r="XEB20" s="10"/>
      <c r="XEC20" s="8"/>
      <c r="XED20" s="10"/>
      <c r="XEE20" s="11"/>
      <c r="XEF20" s="11"/>
      <c r="XEG20" s="11"/>
      <c r="XEH20" s="12"/>
      <c r="XEI20" s="11"/>
      <c r="XEJ20" s="9"/>
      <c r="XEK20" s="9"/>
      <c r="XEL20" s="9"/>
      <c r="XEM20" s="9"/>
      <c r="XEN20" s="9"/>
      <c r="XEO20" s="9"/>
      <c r="XEP20" s="10"/>
      <c r="XEQ20" s="8"/>
      <c r="XER20" s="10"/>
      <c r="XES20" s="11"/>
      <c r="XET20" s="11"/>
      <c r="XEU20" s="11"/>
      <c r="XEV20" s="12"/>
      <c r="XEW20" s="11"/>
    </row>
    <row r="21" spans="4:10 16356:16377" x14ac:dyDescent="0.3">
      <c r="D21">
        <v>6062</v>
      </c>
      <c r="E21" t="s">
        <v>6</v>
      </c>
      <c r="F21">
        <v>58</v>
      </c>
      <c r="G21">
        <v>5</v>
      </c>
      <c r="H21">
        <v>3.39</v>
      </c>
      <c r="J21">
        <v>0.37</v>
      </c>
      <c r="XEB21" s="10"/>
      <c r="XEC21" s="8"/>
      <c r="XED21" s="10"/>
      <c r="XEE21" s="11"/>
      <c r="XEF21" s="11"/>
      <c r="XEG21" s="11"/>
      <c r="XEH21" s="12"/>
      <c r="XEI21" s="11"/>
      <c r="XEJ21" s="9"/>
      <c r="XEK21" s="9"/>
      <c r="XEL21" s="9"/>
      <c r="XEM21" s="9"/>
      <c r="XEN21" s="9"/>
      <c r="XEO21" s="9"/>
      <c r="XEP21" s="10"/>
      <c r="XEQ21" s="8"/>
      <c r="XER21" s="10"/>
      <c r="XES21" s="11"/>
      <c r="XET21" s="11"/>
      <c r="XEU21" s="11"/>
      <c r="XEV21" s="12"/>
      <c r="XEW21" s="11"/>
    </row>
    <row r="22" spans="4:10 16356:16377" x14ac:dyDescent="0.3">
      <c r="D22">
        <v>6063</v>
      </c>
      <c r="E22" t="s">
        <v>6</v>
      </c>
      <c r="F22">
        <v>71</v>
      </c>
      <c r="G22">
        <v>12.99</v>
      </c>
      <c r="H22">
        <v>9.44</v>
      </c>
      <c r="J22">
        <v>0.39</v>
      </c>
      <c r="XEB22" s="10"/>
      <c r="XEC22" s="8"/>
      <c r="XED22" s="10"/>
      <c r="XEE22" s="11"/>
      <c r="XEF22" s="11"/>
      <c r="XEG22" s="11"/>
      <c r="XEH22" s="12"/>
      <c r="XEI22" s="11"/>
      <c r="XEJ22" s="9"/>
      <c r="XEK22" s="9"/>
      <c r="XEL22" s="9"/>
      <c r="XEM22" s="9"/>
      <c r="XEN22" s="9"/>
      <c r="XEO22" s="9"/>
      <c r="XEP22" s="10"/>
      <c r="XEQ22" s="8"/>
      <c r="XER22" s="10"/>
      <c r="XES22" s="11"/>
      <c r="XET22" s="11"/>
      <c r="XEU22" s="11"/>
      <c r="XEV22" s="12"/>
      <c r="XEW22" s="11"/>
    </row>
    <row r="23" spans="4:10 16356:16377" x14ac:dyDescent="0.3">
      <c r="D23">
        <v>20631</v>
      </c>
      <c r="E23" t="s">
        <v>5</v>
      </c>
      <c r="F23">
        <v>1</v>
      </c>
      <c r="G23">
        <v>55.48</v>
      </c>
      <c r="H23">
        <v>14.3</v>
      </c>
      <c r="J23">
        <v>0.37</v>
      </c>
      <c r="XEB23" s="10"/>
      <c r="XEC23" s="8"/>
      <c r="XED23" s="10"/>
      <c r="XEE23" s="11"/>
      <c r="XEF23" s="11"/>
      <c r="XEG23" s="11"/>
      <c r="XEH23" s="12"/>
      <c r="XEI23" s="11"/>
      <c r="XEJ23" s="9"/>
      <c r="XEK23" s="9"/>
      <c r="XEL23" s="9"/>
      <c r="XEM23" s="9"/>
      <c r="XEN23" s="9"/>
      <c r="XEO23" s="9"/>
      <c r="XEP23" s="10"/>
      <c r="XEQ23" s="8"/>
      <c r="XER23" s="10"/>
      <c r="XES23" s="11"/>
      <c r="XET23" s="11"/>
      <c r="XEU23" s="11"/>
      <c r="XEV23" s="12"/>
      <c r="XEW23" s="11"/>
    </row>
    <row r="24" spans="4:10 16356:16377" x14ac:dyDescent="0.3">
      <c r="D24">
        <v>20632</v>
      </c>
      <c r="E24" t="s">
        <v>5</v>
      </c>
      <c r="F24">
        <v>1</v>
      </c>
      <c r="G24">
        <v>1.68</v>
      </c>
      <c r="H24">
        <v>1.57</v>
      </c>
      <c r="J24">
        <v>0.59</v>
      </c>
      <c r="XEB24" s="10"/>
      <c r="XEC24" s="8"/>
      <c r="XED24" s="10"/>
      <c r="XEE24" s="11"/>
      <c r="XEF24" s="11"/>
      <c r="XEG24" s="11"/>
      <c r="XEH24" s="12"/>
      <c r="XEI24" s="11"/>
      <c r="XEJ24" s="9"/>
      <c r="XEK24" s="9"/>
      <c r="XEL24" s="9"/>
      <c r="XEM24" s="9"/>
      <c r="XEN24" s="9"/>
      <c r="XEO24" s="9"/>
      <c r="XEP24" s="10"/>
      <c r="XEQ24" s="8"/>
      <c r="XER24" s="10"/>
      <c r="XES24" s="11"/>
      <c r="XET24" s="11"/>
      <c r="XEU24" s="11"/>
      <c r="XEV24" s="12"/>
      <c r="XEW24" s="11"/>
    </row>
    <row r="25" spans="4:10 16356:16377" x14ac:dyDescent="0.3">
      <c r="D25">
        <v>23967</v>
      </c>
      <c r="E25" t="s">
        <v>6</v>
      </c>
      <c r="F25">
        <v>12</v>
      </c>
      <c r="G25">
        <v>4.1399999999999997</v>
      </c>
      <c r="H25">
        <v>6.6</v>
      </c>
      <c r="J25">
        <v>0.49</v>
      </c>
      <c r="XEB25" s="10"/>
      <c r="XEC25" s="8"/>
      <c r="XED25" s="10"/>
      <c r="XEE25" s="11"/>
      <c r="XEF25" s="11"/>
      <c r="XEG25" s="11"/>
      <c r="XEH25" s="12"/>
      <c r="XEI25" s="11"/>
      <c r="XEJ25" s="9"/>
      <c r="XEK25" s="9"/>
      <c r="XEL25" s="9"/>
      <c r="XEM25" s="9"/>
      <c r="XEN25" s="9"/>
      <c r="XEO25" s="9"/>
      <c r="XEP25" s="10"/>
      <c r="XEQ25" s="8"/>
      <c r="XER25" s="10"/>
      <c r="XES25" s="11"/>
      <c r="XET25" s="11"/>
      <c r="XEU25" s="11"/>
      <c r="XEV25" s="12"/>
      <c r="XEW25" s="11"/>
    </row>
    <row r="26" spans="4:10 16356:16377" x14ac:dyDescent="0.3">
      <c r="D26">
        <v>23509</v>
      </c>
      <c r="E26" t="s">
        <v>5</v>
      </c>
      <c r="F26">
        <v>13</v>
      </c>
      <c r="G26">
        <v>34.99</v>
      </c>
      <c r="H26">
        <v>7.73</v>
      </c>
      <c r="J26">
        <v>0.59</v>
      </c>
      <c r="XEB26" s="10"/>
      <c r="XEC26" s="8"/>
      <c r="XED26" s="10"/>
      <c r="XEE26" s="11"/>
      <c r="XEF26" s="11"/>
      <c r="XEG26" s="11"/>
      <c r="XEH26" s="12"/>
      <c r="XEI26" s="11"/>
      <c r="XEJ26" s="9"/>
      <c r="XEK26" s="9"/>
      <c r="XEL26" s="9"/>
      <c r="XEM26" s="9"/>
      <c r="XEN26" s="9"/>
      <c r="XEO26" s="9"/>
      <c r="XEP26" s="10"/>
      <c r="XEQ26" s="8"/>
      <c r="XER26" s="10"/>
      <c r="XES26" s="11"/>
      <c r="XET26" s="11"/>
      <c r="XEU26" s="11"/>
      <c r="XEV26" s="12"/>
      <c r="XEW26" s="11"/>
    </row>
    <row r="27" spans="4:10 16356:16377" x14ac:dyDescent="0.3">
      <c r="D27">
        <v>23612</v>
      </c>
      <c r="E27" t="s">
        <v>5</v>
      </c>
      <c r="F27">
        <v>2</v>
      </c>
      <c r="G27">
        <v>17.98</v>
      </c>
      <c r="H27">
        <v>8.51</v>
      </c>
      <c r="J27">
        <v>0.4</v>
      </c>
      <c r="XEB27" s="10"/>
      <c r="XEC27" s="8"/>
      <c r="XED27" s="10"/>
      <c r="XEE27" s="11"/>
      <c r="XEF27" s="11"/>
      <c r="XEG27" s="11"/>
      <c r="XEH27" s="12"/>
      <c r="XEI27" s="11"/>
      <c r="XEJ27" s="9"/>
      <c r="XEK27" s="9"/>
      <c r="XEL27" s="9"/>
      <c r="XEM27" s="9"/>
      <c r="XEN27" s="9"/>
      <c r="XEO27" s="9"/>
      <c r="XEP27" s="10"/>
      <c r="XEQ27" s="8"/>
      <c r="XER27" s="10"/>
      <c r="XES27" s="11"/>
      <c r="XET27" s="11"/>
      <c r="XEU27" s="11"/>
      <c r="XEV27" s="12"/>
      <c r="XEW27" s="11"/>
    </row>
    <row r="28" spans="4:10 16356:16377" x14ac:dyDescent="0.3">
      <c r="D28">
        <v>23278</v>
      </c>
      <c r="E28" t="s">
        <v>8</v>
      </c>
      <c r="F28">
        <v>8</v>
      </c>
      <c r="G28">
        <v>125.99</v>
      </c>
      <c r="H28">
        <v>7.69</v>
      </c>
      <c r="J28">
        <v>0.59</v>
      </c>
      <c r="XEB28" s="10"/>
      <c r="XEC28" s="8"/>
      <c r="XED28" s="10"/>
      <c r="XEE28" s="11"/>
      <c r="XEF28" s="11"/>
      <c r="XEG28" s="11"/>
      <c r="XEH28" s="12"/>
      <c r="XEI28" s="11"/>
      <c r="XEJ28" s="9"/>
      <c r="XEK28" s="9"/>
      <c r="XEL28" s="9"/>
      <c r="XEM28" s="9"/>
      <c r="XEN28" s="9"/>
      <c r="XEO28" s="9"/>
      <c r="XEP28" s="10"/>
      <c r="XEQ28" s="8"/>
      <c r="XER28" s="10"/>
      <c r="XES28" s="11"/>
      <c r="XET28" s="11"/>
      <c r="XEU28" s="11"/>
      <c r="XEV28" s="12"/>
      <c r="XEW28" s="11"/>
    </row>
    <row r="29" spans="4:10 16356:16377" x14ac:dyDescent="0.3">
      <c r="D29">
        <v>19355</v>
      </c>
      <c r="E29" t="s">
        <v>9</v>
      </c>
      <c r="F29">
        <v>22</v>
      </c>
      <c r="G29">
        <v>205.99</v>
      </c>
      <c r="H29">
        <v>8.99</v>
      </c>
      <c r="J29">
        <v>0.56000000000000005</v>
      </c>
      <c r="XEB29" s="10"/>
      <c r="XEC29" s="8"/>
      <c r="XED29" s="10"/>
      <c r="XEE29" s="11"/>
      <c r="XEF29" s="11"/>
      <c r="XEG29" s="11"/>
      <c r="XEH29" s="12"/>
      <c r="XEI29" s="11"/>
      <c r="XEJ29" s="9"/>
      <c r="XEK29" s="9"/>
      <c r="XEL29" s="9"/>
      <c r="XEM29" s="9"/>
      <c r="XEN29" s="9"/>
      <c r="XEO29" s="9"/>
      <c r="XEP29" s="10"/>
      <c r="XEQ29" s="8"/>
      <c r="XER29" s="10"/>
      <c r="XES29" s="11"/>
      <c r="XET29" s="11"/>
      <c r="XEU29" s="11"/>
      <c r="XEV29" s="12"/>
      <c r="XEW29" s="11"/>
    </row>
    <row r="30" spans="4:10 16356:16377" x14ac:dyDescent="0.3">
      <c r="D30">
        <v>23654</v>
      </c>
      <c r="E30" t="s">
        <v>6</v>
      </c>
      <c r="F30">
        <v>13</v>
      </c>
      <c r="G30">
        <v>4.24</v>
      </c>
      <c r="H30">
        <v>5.41</v>
      </c>
      <c r="J30">
        <v>0.35</v>
      </c>
      <c r="XEB30" s="10"/>
      <c r="XEC30" s="8"/>
      <c r="XED30" s="10"/>
      <c r="XEE30" s="11"/>
      <c r="XEF30" s="11"/>
      <c r="XEG30" s="11"/>
      <c r="XEH30" s="12"/>
      <c r="XEI30" s="11"/>
      <c r="XEJ30" s="9"/>
      <c r="XEK30" s="9"/>
      <c r="XEL30" s="9"/>
      <c r="XEM30" s="9"/>
      <c r="XEN30" s="9"/>
      <c r="XEO30" s="9"/>
      <c r="XEP30" s="10"/>
      <c r="XEQ30" s="8"/>
      <c r="XER30" s="10"/>
      <c r="XES30" s="11"/>
      <c r="XET30" s="11"/>
      <c r="XEU30" s="11"/>
      <c r="XEV30" s="12"/>
      <c r="XEW30" s="11"/>
    </row>
    <row r="31" spans="4:10 16356:16377" x14ac:dyDescent="0.3">
      <c r="D31">
        <v>23655</v>
      </c>
      <c r="E31" t="s">
        <v>6</v>
      </c>
      <c r="F31">
        <v>18</v>
      </c>
      <c r="G31">
        <v>2.94</v>
      </c>
      <c r="H31">
        <v>0.7</v>
      </c>
      <c r="J31">
        <v>0.57999999999999996</v>
      </c>
      <c r="XEB31" s="10"/>
      <c r="XEC31" s="8"/>
      <c r="XED31" s="10"/>
      <c r="XEE31" s="11"/>
      <c r="XEF31" s="11"/>
      <c r="XEG31" s="11"/>
      <c r="XEH31" s="12"/>
      <c r="XEI31" s="11"/>
      <c r="XEJ31" s="9"/>
      <c r="XEK31" s="9"/>
      <c r="XEL31" s="9"/>
      <c r="XEM31" s="9"/>
      <c r="XEN31" s="9"/>
      <c r="XEO31" s="9"/>
      <c r="XEP31" s="10"/>
      <c r="XEQ31" s="8"/>
      <c r="XER31" s="10"/>
      <c r="XES31" s="11"/>
      <c r="XET31" s="11"/>
      <c r="XEU31" s="11"/>
      <c r="XEV31" s="12"/>
      <c r="XEW31" s="11"/>
    </row>
    <row r="32" spans="4:10 16356:16377" x14ac:dyDescent="0.3">
      <c r="D32">
        <v>25933</v>
      </c>
      <c r="E32" t="s">
        <v>5</v>
      </c>
      <c r="F32">
        <v>6</v>
      </c>
      <c r="G32">
        <v>99.99</v>
      </c>
      <c r="H32">
        <v>19.989999999999998</v>
      </c>
      <c r="J32">
        <v>0.52</v>
      </c>
      <c r="XEB32" s="10"/>
      <c r="XEC32" s="8"/>
      <c r="XED32" s="10"/>
      <c r="XEE32" s="11"/>
      <c r="XEF32" s="11"/>
      <c r="XEG32" s="11"/>
      <c r="XEH32" s="12"/>
      <c r="XEI32" s="11"/>
      <c r="XEJ32" s="9"/>
      <c r="XEK32" s="9"/>
      <c r="XEL32" s="9"/>
      <c r="XEM32" s="9"/>
      <c r="XEN32" s="9"/>
      <c r="XEO32" s="9"/>
      <c r="XEP32" s="10"/>
      <c r="XEQ32" s="8"/>
      <c r="XER32" s="10"/>
      <c r="XES32" s="11"/>
      <c r="XET32" s="11"/>
      <c r="XEU32" s="11"/>
      <c r="XEV32" s="12"/>
      <c r="XEW32" s="11"/>
    </row>
    <row r="33" spans="4:10 16356:16377" x14ac:dyDescent="0.3">
      <c r="D33">
        <v>20697</v>
      </c>
      <c r="E33" t="s">
        <v>8</v>
      </c>
      <c r="F33">
        <v>6</v>
      </c>
      <c r="G33">
        <v>115.99</v>
      </c>
      <c r="H33">
        <v>2.5</v>
      </c>
      <c r="J33">
        <v>0.56999999999999995</v>
      </c>
      <c r="XEB33" s="10"/>
      <c r="XEC33" s="8"/>
      <c r="XED33" s="10"/>
      <c r="XEE33" s="11"/>
      <c r="XEF33" s="11"/>
      <c r="XEG33" s="11"/>
      <c r="XEH33" s="12"/>
      <c r="XEI33" s="11"/>
      <c r="XEJ33" s="9"/>
      <c r="XEK33" s="9"/>
      <c r="XEL33" s="9"/>
      <c r="XEM33" s="9"/>
      <c r="XEN33" s="9"/>
      <c r="XEO33" s="9"/>
      <c r="XEP33" s="10"/>
      <c r="XEQ33" s="8"/>
      <c r="XER33" s="10"/>
      <c r="XES33" s="11"/>
      <c r="XET33" s="11"/>
      <c r="XEU33" s="11"/>
      <c r="XEV33" s="12"/>
      <c r="XEW33" s="11"/>
    </row>
    <row r="34" spans="4:10 16356:16377" x14ac:dyDescent="0.3">
      <c r="D34">
        <v>20698</v>
      </c>
      <c r="E34" t="s">
        <v>8</v>
      </c>
      <c r="F34">
        <v>1</v>
      </c>
      <c r="G34">
        <v>3502.14</v>
      </c>
      <c r="H34">
        <v>8.73</v>
      </c>
      <c r="J34">
        <v>0.56999999999999995</v>
      </c>
      <c r="XEB34" s="10"/>
      <c r="XEC34" s="8"/>
      <c r="XED34" s="10"/>
      <c r="XEE34" s="11"/>
      <c r="XEF34" s="11"/>
      <c r="XEG34" s="11"/>
      <c r="XEH34" s="12"/>
      <c r="XEI34" s="11"/>
      <c r="XEJ34" s="9"/>
      <c r="XEK34" s="9"/>
      <c r="XEL34" s="9"/>
      <c r="XEM34" s="9"/>
      <c r="XEN34" s="9"/>
      <c r="XEO34" s="9"/>
      <c r="XEP34" s="10"/>
      <c r="XEQ34" s="8"/>
      <c r="XER34" s="10"/>
      <c r="XES34" s="11"/>
      <c r="XET34" s="11"/>
      <c r="XEU34" s="11"/>
      <c r="XEV34" s="12"/>
      <c r="XEW34" s="11"/>
    </row>
    <row r="35" spans="4:10 16356:16377" x14ac:dyDescent="0.3">
      <c r="D35">
        <v>22890</v>
      </c>
      <c r="E35" t="s">
        <v>5</v>
      </c>
      <c r="F35">
        <v>17</v>
      </c>
      <c r="G35">
        <v>175.99</v>
      </c>
      <c r="H35">
        <v>5.79</v>
      </c>
      <c r="J35">
        <v>0.36</v>
      </c>
      <c r="XEB35" s="10"/>
      <c r="XEC35" s="8"/>
      <c r="XED35" s="10"/>
      <c r="XEE35" s="11"/>
      <c r="XEF35" s="11"/>
      <c r="XEG35" s="11"/>
      <c r="XEH35" s="12"/>
      <c r="XEI35" s="11"/>
      <c r="XEJ35" s="9"/>
      <c r="XEK35" s="9"/>
      <c r="XEL35" s="9"/>
      <c r="XEM35" s="9"/>
      <c r="XEN35" s="9"/>
      <c r="XEO35" s="9"/>
      <c r="XEP35" s="10"/>
      <c r="XEQ35" s="8"/>
      <c r="XER35" s="10"/>
      <c r="XES35" s="11"/>
      <c r="XET35" s="11"/>
      <c r="XEU35" s="11"/>
      <c r="XEV35" s="12"/>
      <c r="XEW35" s="11"/>
    </row>
    <row r="36" spans="4:10 16356:16377" x14ac:dyDescent="0.3">
      <c r="D36">
        <v>25354</v>
      </c>
      <c r="E36" t="s">
        <v>5</v>
      </c>
      <c r="F36">
        <v>20</v>
      </c>
      <c r="G36">
        <v>155.06</v>
      </c>
      <c r="H36">
        <v>1.49</v>
      </c>
      <c r="J36">
        <v>0.38</v>
      </c>
      <c r="XEB36" s="10"/>
      <c r="XEC36" s="8"/>
      <c r="XED36" s="10"/>
      <c r="XEE36" s="11"/>
      <c r="XEF36" s="11"/>
      <c r="XEG36" s="11"/>
      <c r="XEH36" s="12"/>
      <c r="XEI36" s="11"/>
      <c r="XEJ36" s="9"/>
      <c r="XEK36" s="9"/>
      <c r="XEL36" s="9"/>
      <c r="XEM36" s="9"/>
      <c r="XEN36" s="9"/>
      <c r="XEO36" s="9"/>
      <c r="XEP36" s="10"/>
      <c r="XEQ36" s="8"/>
      <c r="XER36" s="10"/>
      <c r="XES36" s="11"/>
      <c r="XET36" s="11"/>
      <c r="XEU36" s="11"/>
      <c r="XEV36" s="12"/>
      <c r="XEW36" s="11"/>
    </row>
    <row r="37" spans="4:10 16356:16377" x14ac:dyDescent="0.3">
      <c r="D37">
        <v>21017</v>
      </c>
      <c r="E37" t="s">
        <v>6</v>
      </c>
      <c r="F37">
        <v>17</v>
      </c>
      <c r="G37">
        <v>5.98</v>
      </c>
      <c r="H37">
        <v>0.7</v>
      </c>
      <c r="J37">
        <v>0.56000000000000005</v>
      </c>
      <c r="XEB37" s="10"/>
      <c r="XEC37" s="8"/>
      <c r="XED37" s="10"/>
      <c r="XEE37" s="11"/>
      <c r="XEF37" s="11"/>
      <c r="XEG37" s="11"/>
      <c r="XEH37" s="12"/>
      <c r="XEI37" s="11"/>
      <c r="XEJ37" s="9"/>
      <c r="XEK37" s="9"/>
      <c r="XEL37" s="9"/>
      <c r="XEM37" s="9"/>
      <c r="XEN37" s="9"/>
      <c r="XEO37" s="9"/>
      <c r="XEP37" s="10"/>
      <c r="XEQ37" s="8"/>
      <c r="XER37" s="10"/>
      <c r="XES37" s="11"/>
      <c r="XET37" s="11"/>
      <c r="XEU37" s="11"/>
      <c r="XEV37" s="12"/>
      <c r="XEW37" s="11"/>
    </row>
    <row r="38" spans="4:10 16356:16377" x14ac:dyDescent="0.3">
      <c r="D38">
        <v>21019</v>
      </c>
      <c r="E38" t="s">
        <v>6</v>
      </c>
      <c r="F38">
        <v>3</v>
      </c>
      <c r="G38">
        <v>29.14</v>
      </c>
      <c r="H38">
        <v>5.15</v>
      </c>
      <c r="J38">
        <v>0.36</v>
      </c>
      <c r="XEB38" s="10"/>
      <c r="XEC38" s="8"/>
      <c r="XED38" s="10"/>
      <c r="XEE38" s="11"/>
      <c r="XEF38" s="11"/>
      <c r="XEG38" s="11"/>
      <c r="XEH38" s="12"/>
      <c r="XEI38" s="11"/>
      <c r="XEJ38" s="9"/>
      <c r="XEK38" s="9"/>
      <c r="XEL38" s="9"/>
      <c r="XEM38" s="9"/>
      <c r="XEN38" s="9"/>
      <c r="XEO38" s="9"/>
      <c r="XEP38" s="10"/>
      <c r="XEQ38" s="8"/>
      <c r="XER38" s="10"/>
      <c r="XES38" s="11"/>
      <c r="XET38" s="11"/>
      <c r="XEU38" s="11"/>
      <c r="XEV38" s="12"/>
      <c r="XEW38" s="11"/>
    </row>
    <row r="39" spans="4:10 16356:16377" x14ac:dyDescent="0.3">
      <c r="D39">
        <v>23274</v>
      </c>
      <c r="E39" t="s">
        <v>9</v>
      </c>
      <c r="F39">
        <v>17</v>
      </c>
      <c r="G39">
        <v>3.69</v>
      </c>
      <c r="H39">
        <v>4.8600000000000003</v>
      </c>
      <c r="J39">
        <v>0.38</v>
      </c>
      <c r="XEB39" s="10"/>
      <c r="XEC39" s="8"/>
      <c r="XED39" s="10"/>
      <c r="XEE39" s="11"/>
      <c r="XEF39" s="11"/>
      <c r="XEG39" s="11"/>
      <c r="XEH39" s="12"/>
      <c r="XEI39" s="11"/>
      <c r="XEJ39" s="9"/>
      <c r="XEK39" s="9"/>
      <c r="XEL39" s="9"/>
      <c r="XEM39" s="9"/>
      <c r="XEN39" s="9"/>
      <c r="XEO39" s="9"/>
      <c r="XEP39" s="10"/>
      <c r="XEQ39" s="8"/>
      <c r="XER39" s="10"/>
      <c r="XES39" s="11"/>
      <c r="XET39" s="11"/>
      <c r="XEU39" s="11"/>
      <c r="XEV39" s="12"/>
      <c r="XEW39" s="11"/>
    </row>
  </sheetData>
  <mergeCells count="1">
    <mergeCell ref="N7:R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mand">
                <anchor moveWithCells="1" sizeWithCells="1">
                  <from>
                    <xdr:col>14</xdr:col>
                    <xdr:colOff>0</xdr:colOff>
                    <xdr:row>9</xdr:row>
                    <xdr:rowOff>30480</xdr:rowOff>
                  </from>
                  <to>
                    <xdr:col>17</xdr:col>
                    <xdr:colOff>91440</xdr:colOff>
                    <xdr:row>13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3"/>
  <dimension ref="C3:C4"/>
  <sheetViews>
    <sheetView workbookViewId="0">
      <selection activeCell="C6" sqref="C6"/>
    </sheetView>
  </sheetViews>
  <sheetFormatPr defaultRowHeight="14.4" x14ac:dyDescent="0.3"/>
  <sheetData>
    <row r="3" spans="3:3" x14ac:dyDescent="0.3">
      <c r="C3" s="1" t="s">
        <v>2</v>
      </c>
    </row>
    <row r="4" spans="3:3" x14ac:dyDescent="0.3">
      <c r="C4" s="1" t="s"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F0536-B721-47A0-9BDE-135CAA4DBD44}">
  <sheetPr codeName="Sheet4"/>
  <dimension ref="C4:I31"/>
  <sheetViews>
    <sheetView tabSelected="1" zoomScale="96" workbookViewId="0">
      <selection activeCell="M16" sqref="M16"/>
    </sheetView>
  </sheetViews>
  <sheetFormatPr defaultRowHeight="14.4" x14ac:dyDescent="0.3"/>
  <cols>
    <col min="3" max="3" width="13.6640625" bestFit="1" customWidth="1"/>
    <col min="4" max="4" width="16.21875" bestFit="1" customWidth="1"/>
    <col min="5" max="5" width="13.109375" bestFit="1" customWidth="1"/>
    <col min="6" max="6" width="13" bestFit="1" customWidth="1"/>
    <col min="7" max="7" width="8.77734375" bestFit="1" customWidth="1"/>
    <col min="8" max="8" width="11.77734375" bestFit="1" customWidth="1"/>
    <col min="9" max="9" width="7.44140625" bestFit="1" customWidth="1"/>
  </cols>
  <sheetData>
    <row r="4" spans="3:9" x14ac:dyDescent="0.3">
      <c r="C4" s="3" t="s">
        <v>22</v>
      </c>
      <c r="D4" s="3" t="s">
        <v>23</v>
      </c>
      <c r="E4" s="3" t="s">
        <v>24</v>
      </c>
      <c r="F4" s="3" t="s">
        <v>25</v>
      </c>
      <c r="G4" s="3" t="s">
        <v>26</v>
      </c>
      <c r="H4" s="3" t="s">
        <v>27</v>
      </c>
      <c r="I4" s="3" t="s">
        <v>28</v>
      </c>
    </row>
    <row r="5" spans="3:9" x14ac:dyDescent="0.3">
      <c r="C5" s="13"/>
      <c r="D5" s="13"/>
      <c r="E5" s="13"/>
      <c r="F5" s="13"/>
      <c r="G5" s="13"/>
      <c r="H5" s="13"/>
      <c r="I5" s="13"/>
    </row>
    <row r="6" spans="3:9" x14ac:dyDescent="0.3">
      <c r="C6" s="13"/>
      <c r="D6" s="13"/>
      <c r="E6" s="13"/>
      <c r="F6" s="13"/>
      <c r="G6" s="13"/>
      <c r="H6" s="13"/>
      <c r="I6" s="13"/>
    </row>
    <row r="7" spans="3:9" x14ac:dyDescent="0.3">
      <c r="C7" s="13"/>
      <c r="D7" s="13"/>
      <c r="E7" s="13"/>
      <c r="F7" s="13"/>
      <c r="G7" s="13"/>
      <c r="H7" s="13"/>
      <c r="I7" s="13"/>
    </row>
    <row r="8" spans="3:9" x14ac:dyDescent="0.3">
      <c r="C8" s="13"/>
      <c r="D8" s="13"/>
      <c r="E8" s="13"/>
      <c r="F8" s="13"/>
      <c r="G8" s="13"/>
      <c r="H8" s="13"/>
      <c r="I8" s="13"/>
    </row>
    <row r="9" spans="3:9" x14ac:dyDescent="0.3">
      <c r="C9" s="13"/>
      <c r="D9" s="13"/>
      <c r="E9" s="13"/>
      <c r="F9" s="13"/>
      <c r="G9" s="13"/>
      <c r="H9" s="13"/>
      <c r="I9" s="13"/>
    </row>
    <row r="10" spans="3:9" x14ac:dyDescent="0.3">
      <c r="C10" s="13"/>
      <c r="D10" s="13"/>
      <c r="E10" s="13"/>
      <c r="F10" s="13"/>
      <c r="G10" s="13"/>
      <c r="H10" s="13"/>
      <c r="I10" s="13"/>
    </row>
    <row r="11" spans="3:9" x14ac:dyDescent="0.3">
      <c r="C11" s="13"/>
      <c r="D11" s="13"/>
      <c r="E11" s="13"/>
      <c r="F11" s="13"/>
      <c r="G11" s="13"/>
      <c r="H11" s="13"/>
      <c r="I11" s="13"/>
    </row>
    <row r="12" spans="3:9" x14ac:dyDescent="0.3">
      <c r="C12" s="13"/>
      <c r="D12" s="13"/>
      <c r="E12" s="13"/>
      <c r="F12" s="13"/>
      <c r="G12" s="13"/>
      <c r="H12" s="13"/>
      <c r="I12" s="13"/>
    </row>
    <row r="13" spans="3:9" x14ac:dyDescent="0.3">
      <c r="C13" s="13"/>
      <c r="D13" s="13"/>
      <c r="E13" s="13"/>
      <c r="F13" s="13"/>
      <c r="G13" s="13"/>
      <c r="H13" s="13"/>
      <c r="I13" s="13"/>
    </row>
    <row r="14" spans="3:9" x14ac:dyDescent="0.3">
      <c r="C14" s="13"/>
      <c r="D14" s="13"/>
      <c r="E14" s="13"/>
      <c r="F14" s="13"/>
      <c r="G14" s="13"/>
      <c r="H14" s="13"/>
      <c r="I14" s="13"/>
    </row>
    <row r="15" spans="3:9" x14ac:dyDescent="0.3">
      <c r="C15" s="13"/>
      <c r="D15" s="13"/>
      <c r="E15" s="13"/>
      <c r="F15" s="13"/>
      <c r="G15" s="13"/>
      <c r="H15" s="13"/>
      <c r="I15" s="13"/>
    </row>
    <row r="16" spans="3:9" x14ac:dyDescent="0.3">
      <c r="C16" s="13"/>
      <c r="D16" s="13"/>
      <c r="E16" s="13"/>
      <c r="F16" s="13"/>
      <c r="G16" s="13"/>
      <c r="H16" s="13"/>
      <c r="I16" s="13"/>
    </row>
    <row r="17" spans="3:9" x14ac:dyDescent="0.3">
      <c r="C17" s="13"/>
      <c r="D17" s="13"/>
      <c r="E17" s="13"/>
      <c r="F17" s="13"/>
      <c r="G17" s="13"/>
      <c r="H17" s="13"/>
      <c r="I17" s="13"/>
    </row>
    <row r="18" spans="3:9" x14ac:dyDescent="0.3">
      <c r="C18" s="13"/>
      <c r="D18" s="13"/>
      <c r="E18" s="13"/>
      <c r="F18" s="13"/>
      <c r="G18" s="13"/>
      <c r="H18" s="13"/>
      <c r="I18" s="13"/>
    </row>
    <row r="19" spans="3:9" x14ac:dyDescent="0.3">
      <c r="C19" s="13"/>
      <c r="D19" s="13"/>
      <c r="E19" s="13"/>
      <c r="F19" s="13"/>
      <c r="G19" s="13"/>
      <c r="H19" s="13"/>
      <c r="I19" s="13"/>
    </row>
    <row r="20" spans="3:9" x14ac:dyDescent="0.3">
      <c r="C20" s="13"/>
      <c r="D20" s="13"/>
      <c r="E20" s="13"/>
      <c r="F20" s="13"/>
      <c r="G20" s="13"/>
      <c r="H20" s="13"/>
      <c r="I20" s="13"/>
    </row>
    <row r="21" spans="3:9" x14ac:dyDescent="0.3">
      <c r="C21" s="13"/>
      <c r="D21" s="13"/>
      <c r="E21" s="13"/>
      <c r="F21" s="13"/>
      <c r="G21" s="13"/>
      <c r="H21" s="13"/>
      <c r="I21" s="13"/>
    </row>
    <row r="22" spans="3:9" x14ac:dyDescent="0.3">
      <c r="C22" s="13"/>
      <c r="D22" s="13"/>
      <c r="E22" s="13"/>
      <c r="F22" s="13"/>
      <c r="G22" s="13"/>
      <c r="H22" s="13"/>
      <c r="I22" s="13"/>
    </row>
    <row r="23" spans="3:9" x14ac:dyDescent="0.3">
      <c r="C23" s="13"/>
      <c r="D23" s="13"/>
      <c r="E23" s="13"/>
      <c r="F23" s="13"/>
      <c r="G23" s="13"/>
      <c r="H23" s="13"/>
      <c r="I23" s="13"/>
    </row>
    <row r="24" spans="3:9" x14ac:dyDescent="0.3">
      <c r="C24" s="13"/>
      <c r="D24" s="13"/>
      <c r="E24" s="13"/>
      <c r="F24" s="13"/>
      <c r="G24" s="13"/>
      <c r="H24" s="13"/>
      <c r="I24" s="13"/>
    </row>
    <row r="25" spans="3:9" x14ac:dyDescent="0.3">
      <c r="C25" s="13"/>
      <c r="D25" s="13"/>
      <c r="E25" s="13"/>
      <c r="F25" s="13"/>
      <c r="G25" s="13"/>
      <c r="H25" s="13"/>
      <c r="I25" s="13"/>
    </row>
    <row r="26" spans="3:9" x14ac:dyDescent="0.3">
      <c r="C26" s="13"/>
      <c r="D26" s="13"/>
      <c r="E26" s="13"/>
      <c r="F26" s="13"/>
      <c r="G26" s="13"/>
      <c r="H26" s="13"/>
      <c r="I26" s="13"/>
    </row>
    <row r="27" spans="3:9" x14ac:dyDescent="0.3">
      <c r="C27" s="13"/>
      <c r="D27" s="13"/>
      <c r="E27" s="13"/>
      <c r="F27" s="13"/>
      <c r="G27" s="13"/>
      <c r="H27" s="13"/>
      <c r="I27" s="13"/>
    </row>
    <row r="28" spans="3:9" x14ac:dyDescent="0.3">
      <c r="C28" s="13"/>
      <c r="D28" s="13"/>
      <c r="E28" s="13"/>
      <c r="F28" s="13"/>
      <c r="G28" s="13"/>
      <c r="H28" s="13"/>
      <c r="I28" s="13"/>
    </row>
    <row r="29" spans="3:9" x14ac:dyDescent="0.3">
      <c r="C29" s="13"/>
      <c r="D29" s="13"/>
      <c r="E29" s="13"/>
      <c r="F29" s="13"/>
      <c r="G29" s="13"/>
      <c r="H29" s="13"/>
      <c r="I29" s="13"/>
    </row>
    <row r="30" spans="3:9" x14ac:dyDescent="0.3">
      <c r="C30" s="13"/>
      <c r="D30" s="13"/>
      <c r="E30" s="13"/>
      <c r="F30" s="13"/>
      <c r="G30" s="13"/>
      <c r="H30" s="13"/>
      <c r="I30" s="13"/>
    </row>
    <row r="31" spans="3:9" x14ac:dyDescent="0.3">
      <c r="C31" s="13"/>
      <c r="D31" s="13"/>
      <c r="E31" s="13"/>
      <c r="F31" s="13"/>
      <c r="G31" s="13"/>
      <c r="H31" s="13"/>
      <c r="I31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1</vt:lpstr>
      <vt:lpstr>ANS</vt:lpstr>
      <vt:lpstr>2</vt:lpstr>
      <vt:lpstr>JoineeDetails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saurav deshmukh</cp:lastModifiedBy>
  <dcterms:created xsi:type="dcterms:W3CDTF">2015-06-05T18:17:20Z</dcterms:created>
  <dcterms:modified xsi:type="dcterms:W3CDTF">2023-07-03T17:47:57Z</dcterms:modified>
</cp:coreProperties>
</file>